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1B15CCE9-F43E-4058-9FC4-6846C9383C28}" xr6:coauthVersionLast="47" xr6:coauthVersionMax="47" xr10:uidLastSave="{00000000-0000-0000-0000-000000000000}"/>
  <bookViews>
    <workbookView showVerticalScroll="0" xWindow="-120" yWindow="330" windowWidth="29040" windowHeight="15990" xr2:uid="{8B5DE958-5194-4241-BC6A-9B16F371BC66}"/>
  </bookViews>
  <sheets>
    <sheet name="Sheet1" sheetId="1" r:id="rId1"/>
  </sheets>
  <functionGroups builtInGroupCount="19"/>
  <definedNames>
    <definedName name="ColFootLength">Sheet1!$K$15</definedName>
    <definedName name="ColFootThick">Sheet1!$K$17</definedName>
    <definedName name="ColFootWidth">Sheet1!$K$16</definedName>
    <definedName name="Length">Sheet1!$K$15</definedName>
    <definedName name="_xlnm.Print_Area" localSheetId="0">Sheet1!$H$1:$V$57</definedName>
    <definedName name="Width">Sheet1!$K$16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3" i="1" s="1"/>
  <c r="K24" i="1" l="1"/>
  <c r="K25" i="1"/>
</calcChain>
</file>

<file path=xl/sharedStrings.xml><?xml version="1.0" encoding="utf-8"?>
<sst xmlns="http://schemas.openxmlformats.org/spreadsheetml/2006/main" count="23" uniqueCount="18">
  <si>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</si>
  <si>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</si>
  <si>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</si>
  <si>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</si>
  <si>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</si>
  <si>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</si>
  <si>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</si>
  <si>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</si>
  <si>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</si>
  <si>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</si>
  <si>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</si>
  <si>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</si>
  <si>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</si>
  <si>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Input specifications here:</t>
  </si>
  <si>
    <t>Estimated requirements:</t>
  </si>
  <si>
    <t>kg/Bag</t>
  </si>
  <si>
    <t>CONSTRUCTION ESTIMATE</t>
  </si>
  <si>
    <t xml:space="preserve">This workbook is a set of construction estimation tools equipped with interactive inputs and responsive illustrations.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</si>
</sst>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 tint="0.499984740745262"/>
      <name val="Druk Text Wide Bold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2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3" borderId="0" xfId="0" applyFill="1"/>
    <xf numFmtId="2" fontId="0" fillId="4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8057</xdr:colOff>
      <xdr:row>0</xdr:row>
      <xdr:rowOff>0</xdr:rowOff>
    </xdr:from>
    <xdr:to>
      <xdr:col>22</xdr:col>
      <xdr:colOff>1</xdr:colOff>
      <xdr:row>56</xdr:row>
      <xdr:rowOff>56758</xdr:rowOff>
    </xdr:to>
    <xdr:sp macro="" textlink="">
      <xdr:nvSpPr>
        <xdr:cNvPr id="2" name="View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75307" y="0"/>
          <a:ext cx="8974752" cy="11230316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oneCell">
    <xdr:from>
      <xdr:col>7</xdr:col>
      <xdr:colOff>4013</xdr:colOff>
      <xdr:row>57</xdr:row>
      <xdr:rowOff>37268</xdr:rowOff>
    </xdr:from>
    <xdr:to>
      <xdr:col>21</xdr:col>
      <xdr:colOff>600808</xdr:colOff>
      <xdr:row>116</xdr:row>
      <xdr:rowOff>15733</xdr:rowOff>
    </xdr:to>
    <xdr:sp macro="" textlink="">
      <xdr:nvSpPr>
        <xdr:cNvPr id="7" name="Viewpor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671263" y="11240133"/>
          <a:ext cx="8971468" cy="11217965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13</xdr:col>
      <xdr:colOff>354090</xdr:colOff>
      <xdr:row>16</xdr:row>
      <xdr:rowOff>158456</xdr:rowOff>
    </xdr:from>
    <xdr:to>
      <xdr:col>20</xdr:col>
      <xdr:colOff>110994</xdr:colOff>
      <xdr:row>24</xdr:row>
      <xdr:rowOff>79679</xdr:rowOff>
    </xdr:to>
    <xdr:grpSp>
      <xdr:nvGrpSpPr>
        <xdr:cNvPr id="1066" name="ColFoot Drawing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GrpSpPr/>
      </xdr:nvGrpSpPr>
      <xdr:grpSpPr>
        <a:xfrm>
          <a:off x="8719525" y="3612304"/>
          <a:ext cx="3898208" cy="1445223"/>
          <a:chOff x="8670131" y="2686244"/>
          <a:chExt cx="3751519" cy="1445223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12421650" y="3580537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>
            <a:off x="10210816" y="3582827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/>
        </xdr:nvCxnSpPr>
        <xdr:spPr>
          <a:xfrm>
            <a:off x="8670138" y="268624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CxnSpPr/>
        </xdr:nvCxnSpPr>
        <xdr:spPr>
          <a:xfrm>
            <a:off x="10879733" y="2686247"/>
            <a:ext cx="1541917" cy="89429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CxnSpPr/>
        </xdr:nvCxnSpPr>
        <xdr:spPr>
          <a:xfrm>
            <a:off x="8670142" y="2686251"/>
            <a:ext cx="1540676" cy="896576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8670138" y="3234884"/>
            <a:ext cx="1540717" cy="89650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10210816" y="4131467"/>
            <a:ext cx="2209602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CxnSpPr/>
        </xdr:nvCxnSpPr>
        <xdr:spPr>
          <a:xfrm>
            <a:off x="10210816" y="3582827"/>
            <a:ext cx="2209602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CxnSpPr/>
        </xdr:nvCxnSpPr>
        <xdr:spPr>
          <a:xfrm>
            <a:off x="8670131" y="2686247"/>
            <a:ext cx="2209602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104775</xdr:colOff>
      <xdr:row>14</xdr:row>
      <xdr:rowOff>85725</xdr:rowOff>
    </xdr:from>
    <xdr:to>
      <xdr:col>20</xdr:col>
      <xdr:colOff>438150</xdr:colOff>
      <xdr:row>26</xdr:row>
      <xdr:rowOff>133350</xdr:rowOff>
    </xdr:to>
    <xdr:grpSp>
      <xdr:nvGrpSpPr>
        <xdr:cNvPr id="1055" name="ColFoot Boundaries" hidden="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GrpSpPr/>
      </xdr:nvGrpSpPr>
      <xdr:grpSpPr>
        <a:xfrm>
          <a:off x="8470210" y="3158573"/>
          <a:ext cx="4474679" cy="2333625"/>
          <a:chOff x="8374716" y="2226049"/>
          <a:chExt cx="4434728" cy="2333625"/>
        </a:xfrm>
      </xdr:grpSpPr>
      <xdr:cxnSp macro="">
        <xdr:nvCxnSpPr>
          <xdr:cNvPr id="1040" name="Straight Connector 1039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CxnSpPr/>
        </xdr:nvCxnSpPr>
        <xdr:spPr>
          <a:xfrm>
            <a:off x="8622366" y="222604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2" name="Straight Connector 1041">
            <a:extLst>
              <a:ext uri="{FF2B5EF4-FFF2-40B4-BE49-F238E27FC236}">
                <a16:creationId xmlns:a16="http://schemas.microsoft.com/office/drawing/2014/main" id="{00000000-0008-0000-0000-000012040000}"/>
              </a:ext>
            </a:extLst>
          </xdr:cNvPr>
          <xdr:cNvCxnSpPr/>
        </xdr:nvCxnSpPr>
        <xdr:spPr>
          <a:xfrm>
            <a:off x="12476069" y="247369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4" name="Straight Connector 1043">
            <a:extLst>
              <a:ext uri="{FF2B5EF4-FFF2-40B4-BE49-F238E27FC236}">
                <a16:creationId xmlns:a16="http://schemas.microsoft.com/office/drawing/2014/main" id="{00000000-0008-0000-0000-000014040000}"/>
              </a:ext>
            </a:extLst>
          </xdr:cNvPr>
          <xdr:cNvCxnSpPr/>
        </xdr:nvCxnSpPr>
        <xdr:spPr>
          <a:xfrm flipH="1">
            <a:off x="8374716" y="2683249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7" name="Straight Connector 1046">
            <a:extLst>
              <a:ext uri="{FF2B5EF4-FFF2-40B4-BE49-F238E27FC236}">
                <a16:creationId xmlns:a16="http://schemas.microsoft.com/office/drawing/2014/main" id="{00000000-0008-0000-0000-000017040000}"/>
              </a:ext>
            </a:extLst>
          </xdr:cNvPr>
          <xdr:cNvCxnSpPr/>
        </xdr:nvCxnSpPr>
        <xdr:spPr>
          <a:xfrm>
            <a:off x="8489016" y="4140574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354475</xdr:colOff>
      <xdr:row>12</xdr:row>
      <xdr:rowOff>85388</xdr:rowOff>
    </xdr:from>
    <xdr:to>
      <xdr:col>11</xdr:col>
      <xdr:colOff>74678</xdr:colOff>
      <xdr:row>17</xdr:row>
      <xdr:rowOff>119062</xdr:rowOff>
    </xdr:to>
    <xdr:grpSp>
      <xdr:nvGrpSpPr>
        <xdr:cNvPr id="8" name="ColFoot Mix Options" hidden="1">
          <a:extLst>
            <a:ext uri="{FF2B5EF4-FFF2-40B4-BE49-F238E27FC236}">
              <a16:creationId xmlns:a16="http://schemas.microsoft.com/office/drawing/2014/main" id="{1749A1FD-A9A9-E1A5-C168-8009621742C2}"/>
            </a:ext>
          </a:extLst>
        </xdr:cNvPr>
        <xdr:cNvGrpSpPr/>
      </xdr:nvGrpSpPr>
      <xdr:grpSpPr>
        <a:xfrm>
          <a:off x="5655345" y="2777236"/>
          <a:ext cx="1558942" cy="986174"/>
          <a:chOff x="5682936" y="2068403"/>
          <a:chExt cx="1549379" cy="986174"/>
        </a:xfrm>
      </xdr:grpSpPr>
      <xdr:sp macro="" textlink="">
        <xdr:nvSpPr>
          <xdr:cNvPr id="6" name="ColFoot Mix Panel" hidden="1">
            <a:extLst>
              <a:ext uri="{FF2B5EF4-FFF2-40B4-BE49-F238E27FC236}">
                <a16:creationId xmlns:a16="http://schemas.microsoft.com/office/drawing/2014/main" id="{2D44D640-E702-7E44-E057-CCE275B39640}"/>
              </a:ext>
            </a:extLst>
          </xdr:cNvPr>
          <xdr:cNvSpPr/>
        </xdr:nvSpPr>
        <xdr:spPr>
          <a:xfrm>
            <a:off x="5958102" y="2081103"/>
            <a:ext cx="1024454" cy="75916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2" name="ColFoot Mix Option 4" hidden="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5958102" y="2650860"/>
            <a:ext cx="1024454" cy="189919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ColFoot Mix Option 3" hidden="1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5958102" y="2460941"/>
            <a:ext cx="1024454" cy="189919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ColFoot Mix Option 2" hidden="1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5958102" y="2271022"/>
            <a:ext cx="1024454" cy="189919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ColFoot Mix Option 1" hidden="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5958102" y="2081103"/>
            <a:ext cx="1024454" cy="189919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ColFoot_Mix_OptionsLeave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5682936" y="2068403"/>
                <a:ext cx="1549379" cy="9861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ColFoot_Mix_Option4Hover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5958102" y="2650860"/>
                <a:ext cx="1024454" cy="1904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lFoot_Mix_Option3Hover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5958102" y="2460941"/>
                <a:ext cx="1024454" cy="1904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lFoot_Mix_Option2Hov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5958102" y="2271022"/>
                <a:ext cx="1024454" cy="1904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olFoot_Mix_Option1Hover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5958102" y="2081103"/>
                <a:ext cx="1024454" cy="19201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19974</xdr:colOff>
      <xdr:row>11</xdr:row>
      <xdr:rowOff>59988</xdr:rowOff>
    </xdr:from>
    <xdr:to>
      <xdr:col>10</xdr:col>
      <xdr:colOff>434579</xdr:colOff>
      <xdr:row>12</xdr:row>
      <xdr:rowOff>98088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889755" y="2393613"/>
          <a:ext cx="1021824" cy="228600"/>
        </a:xfrm>
        <a:prstGeom prst="roundRect">
          <a:avLst>
            <a:gd name="adj" fmla="val 10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  <a:r>
            <a:rPr lang="en-US" sz="800" baseline="0">
              <a:solidFill>
                <a:sysClr val="windowText" lastClr="000000"/>
              </a:solidFill>
            </a:rPr>
            <a:t>▾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501866</xdr:colOff>
      <xdr:row>11</xdr:row>
      <xdr:rowOff>57451</xdr:rowOff>
    </xdr:from>
    <xdr:to>
      <xdr:col>12</xdr:col>
      <xdr:colOff>25041</xdr:colOff>
      <xdr:row>12</xdr:row>
      <xdr:rowOff>95551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993520" y="2394739"/>
          <a:ext cx="739444" cy="2286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270826</xdr:colOff>
      <xdr:row>7</xdr:row>
      <xdr:rowOff>10472</xdr:rowOff>
    </xdr:from>
    <xdr:to>
      <xdr:col>15</xdr:col>
      <xdr:colOff>164224</xdr:colOff>
      <xdr:row>8</xdr:row>
      <xdr:rowOff>48572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606843" y="1698696"/>
          <a:ext cx="1115226" cy="228600"/>
        </a:xfrm>
        <a:prstGeom prst="roundRect">
          <a:avLst>
            <a:gd name="adj" fmla="val 50000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Initialize Sheet</a:t>
          </a:r>
        </a:p>
      </xdr:txBody>
    </xdr:sp>
    <xdr:clientData/>
  </xdr:twoCellAnchor>
  <xdr:twoCellAnchor editAs="oneCell">
    <xdr:from>
      <xdr:col>9</xdr:col>
      <xdr:colOff>41412</xdr:colOff>
      <xdr:row>2</xdr:row>
      <xdr:rowOff>149087</xdr:rowOff>
    </xdr:from>
    <xdr:to>
      <xdr:col>9</xdr:col>
      <xdr:colOff>549841</xdr:colOff>
      <xdr:row>4</xdr:row>
      <xdr:rowOff>93594</xdr:rowOff>
    </xdr:to>
    <xdr:pic>
      <xdr:nvPicPr>
        <xdr:cNvPr id="4" name="JRE 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862" y="530087"/>
          <a:ext cx="508429" cy="5160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H4:V52"/>
  <sheetViews>
    <sheetView showGridLines="0" tabSelected="1" showRuler="0" topLeftCell="B1" zoomScale="115" zoomScaleNormal="115" zoomScaleSheetLayoutView="70" zoomScalePageLayoutView="145" workbookViewId="0">
      <selection activeCell="S12" sqref="S12"/>
    </sheetView>
  </sheetViews>
  <sheetFormatPr defaultRowHeight="15" x14ac:dyDescent="0.25"/>
  <cols>
    <col min="1" max="1" width="9.140625" style="6"/>
    <col min="2" max="2" width="12.140625" style="6" customWidth="1"/>
    <col min="3" max="6" width="9.140625" style="6"/>
    <col min="7" max="7" width="12.140625" style="6" customWidth="1"/>
    <col min="10" max="12" width="9.140625" customWidth="1"/>
    <col min="15" max="15" width="9.140625" customWidth="1"/>
    <col min="20" max="20" width="7" customWidth="1"/>
    <col min="23" max="16384" width="9.140625" style="6"/>
  </cols>
  <sheetData>
    <row r="4" spans="10:20" ht="30" x14ac:dyDescent="0.25">
      <c r="O4" s="5" t="s">
        <v>16</v>
      </c>
    </row>
    <row r="6" spans="10:20" ht="27.75" customHeight="1" x14ac:dyDescent="0.25">
      <c r="L6" s="11" t="s">
        <v>17</v>
      </c>
      <c r="M6" s="11"/>
      <c r="N6" s="11"/>
      <c r="O6" s="11"/>
      <c r="P6" s="11"/>
      <c r="Q6" s="11"/>
      <c r="R6" s="11"/>
      <c r="S6" s="1"/>
      <c r="T6" s="10"/>
    </row>
    <row r="11" spans="10:20" ht="18.75" x14ac:dyDescent="0.3">
      <c r="J11" s="2" t="s">
        <v>0</v>
      </c>
    </row>
    <row r="14" spans="10:20" x14ac:dyDescent="0.25">
      <c r="J14" t="s">
        <v>13</v>
      </c>
    </row>
    <row r="15" spans="10:20" x14ac:dyDescent="0.25">
      <c r="J15" t="s">
        <v>1</v>
      </c>
      <c r="K15" s="8">
        <v>2</v>
      </c>
      <c r="L15" t="s">
        <v>11</v>
      </c>
    </row>
    <row r="16" spans="10:20" x14ac:dyDescent="0.25">
      <c r="J16" t="s">
        <v>2</v>
      </c>
      <c r="K16" s="8">
        <v>2</v>
      </c>
      <c r="L16" t="s">
        <v>11</v>
      </c>
    </row>
    <row r="17" spans="10:12" x14ac:dyDescent="0.25">
      <c r="J17" t="s">
        <v>3</v>
      </c>
      <c r="K17" s="8">
        <v>0.6</v>
      </c>
      <c r="L17" t="s">
        <v>11</v>
      </c>
    </row>
    <row r="18" spans="10:12" x14ac:dyDescent="0.25">
      <c r="J18" t="s">
        <v>7</v>
      </c>
      <c r="K18" s="9">
        <v>50</v>
      </c>
      <c r="L18" t="s">
        <v>15</v>
      </c>
    </row>
    <row r="19" spans="10:12" x14ac:dyDescent="0.25">
      <c r="J19" t="s">
        <v>4</v>
      </c>
      <c r="K19" s="9">
        <v>1</v>
      </c>
      <c r="L19" t="s">
        <v>12</v>
      </c>
    </row>
    <row r="20" spans="10:12" x14ac:dyDescent="0.25">
      <c r="K20" s="1"/>
    </row>
    <row r="21" spans="10:12" x14ac:dyDescent="0.25">
      <c r="J21" t="s">
        <v>14</v>
      </c>
    </row>
    <row r="22" spans="10:12" x14ac:dyDescent="0.25">
      <c r="J22" t="s">
        <v>5</v>
      </c>
      <c r="K22" s="7">
        <f>PRODUCT(K15:K17,K19)</f>
        <v>2.4</v>
      </c>
      <c r="L22" t="s">
        <v>6</v>
      </c>
    </row>
    <row r="23" spans="10:12" x14ac:dyDescent="0.25">
      <c r="J23" t="s">
        <v>7</v>
      </c>
      <c r="K23" s="4">
        <f>((K22/(1+2+4)) * 1.52) / (K18/1440)</f>
        <v>15.008914285714285</v>
      </c>
      <c r="L23" t="s">
        <v>8</v>
      </c>
    </row>
    <row r="24" spans="10:12" x14ac:dyDescent="0.25">
      <c r="J24" t="s">
        <v>9</v>
      </c>
      <c r="K24" s="3">
        <f>((K22/(1+2+4)) * 1.52) * 2</f>
        <v>1.0422857142857143</v>
      </c>
      <c r="L24" t="s">
        <v>6</v>
      </c>
    </row>
    <row r="25" spans="10:12" x14ac:dyDescent="0.25">
      <c r="J25" t="s">
        <v>10</v>
      </c>
      <c r="K25" s="3">
        <f>((K22/(1+2+4)) * 1.52) * 4</f>
        <v>2.0845714285714285</v>
      </c>
      <c r="L25" t="s">
        <v>6</v>
      </c>
    </row>
    <row r="52" ht="23.25" customHeight="1" x14ac:dyDescent="0.25"/>
  </sheetData>
  <mergeCells count="1">
    <mergeCell ref="L6:R6"/>
  </mergeCells>
  <printOptions horizontalCentered="1"/>
  <pageMargins left="0" right="0" top="0" bottom="0" header="0" footer="0"/>
  <pageSetup scale="78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lFoot_Mix_OptionsLeave">
          <controlPr defaultSize="0" autoLine="0" r:id="rId5">
            <anchor moveWithCells="1">
              <from>
                <xdr:col>8</xdr:col>
                <xdr:colOff>352425</xdr:colOff>
                <xdr:row>12</xdr:row>
                <xdr:rowOff>85725</xdr:rowOff>
              </from>
              <to>
                <xdr:col>11</xdr:col>
                <xdr:colOff>76200</xdr:colOff>
                <xdr:row>17</xdr:row>
                <xdr:rowOff>114300</xdr:rowOff>
              </to>
            </anchor>
          </controlPr>
        </control>
      </mc:Choice>
      <mc:Fallback>
        <control shapeId="1029" r:id="rId4" name="ColFoot_Mix_OptionsLeave"/>
      </mc:Fallback>
    </mc:AlternateContent>
    <mc:AlternateContent xmlns:mc="http://schemas.openxmlformats.org/markup-compatibility/2006">
      <mc:Choice Requires="x14">
        <control shapeId="1028" r:id="rId6" name="ColFoot_Mix_Option4Hover">
          <controlPr defaultSize="0" autoLine="0" r:id="rId7">
            <anchor moveWithCells="1">
              <from>
                <xdr:col>9</xdr:col>
                <xdr:colOff>19050</xdr:colOff>
                <xdr:row>15</xdr:row>
                <xdr:rowOff>95250</xdr:rowOff>
              </from>
              <to>
                <xdr:col>10</xdr:col>
                <xdr:colOff>438150</xdr:colOff>
                <xdr:row>16</xdr:row>
                <xdr:rowOff>95250</xdr:rowOff>
              </to>
            </anchor>
          </controlPr>
        </control>
      </mc:Choice>
      <mc:Fallback>
        <control shapeId="1028" r:id="rId6" name="ColFoot_Mix_Option4Hover"/>
      </mc:Fallback>
    </mc:AlternateContent>
    <mc:AlternateContent xmlns:mc="http://schemas.openxmlformats.org/markup-compatibility/2006">
      <mc:Choice Requires="x14">
        <control shapeId="1027" r:id="rId8" name="ColFoot_Mix_Option3Hover">
          <controlPr defaultSize="0" autoLine="0" r:id="rId7">
            <anchor moveWithCells="1">
              <from>
                <xdr:col>9</xdr:col>
                <xdr:colOff>19050</xdr:colOff>
                <xdr:row>14</xdr:row>
                <xdr:rowOff>95250</xdr:rowOff>
              </from>
              <to>
                <xdr:col>10</xdr:col>
                <xdr:colOff>438150</xdr:colOff>
                <xdr:row>15</xdr:row>
                <xdr:rowOff>95250</xdr:rowOff>
              </to>
            </anchor>
          </controlPr>
        </control>
      </mc:Choice>
      <mc:Fallback>
        <control shapeId="1027" r:id="rId8" name="ColFoot_Mix_Option3Hover"/>
      </mc:Fallback>
    </mc:AlternateContent>
    <mc:AlternateContent xmlns:mc="http://schemas.openxmlformats.org/markup-compatibility/2006">
      <mc:Choice Requires="x14">
        <control shapeId="1026" r:id="rId9" name="ColFoot_Mix_Option2Hover">
          <controlPr defaultSize="0" autoLine="0" r:id="rId7">
            <anchor moveWithCells="1">
              <from>
                <xdr:col>9</xdr:col>
                <xdr:colOff>19050</xdr:colOff>
                <xdr:row>13</xdr:row>
                <xdr:rowOff>95250</xdr:rowOff>
              </from>
              <to>
                <xdr:col>10</xdr:col>
                <xdr:colOff>438150</xdr:colOff>
                <xdr:row>14</xdr:row>
                <xdr:rowOff>95250</xdr:rowOff>
              </to>
            </anchor>
          </controlPr>
        </control>
      </mc:Choice>
      <mc:Fallback>
        <control shapeId="1026" r:id="rId9" name="ColFoot_Mix_Option2Hover"/>
      </mc:Fallback>
    </mc:AlternateContent>
    <mc:AlternateContent xmlns:mc="http://schemas.openxmlformats.org/markup-compatibility/2006">
      <mc:Choice Requires="x14">
        <control shapeId="1025" r:id="rId10" name="ColFoot_Mix_Option1Hover">
          <controlPr defaultSize="0" autoLine="0" r:id="rId7">
            <anchor moveWithCells="1">
              <from>
                <xdr:col>9</xdr:col>
                <xdr:colOff>19050</xdr:colOff>
                <xdr:row>12</xdr:row>
                <xdr:rowOff>95250</xdr:rowOff>
              </from>
              <to>
                <xdr:col>10</xdr:col>
                <xdr:colOff>438150</xdr:colOff>
                <xdr:row>13</xdr:row>
                <xdr:rowOff>95250</xdr:rowOff>
              </to>
            </anchor>
          </controlPr>
        </control>
      </mc:Choice>
      <mc:Fallback>
        <control shapeId="1025" r:id="rId10" name="ColFoot_Mix_Option1Hove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2023-11-11T13:14:12Z</cp:lastPrinted>
  <dcterms:created xsi:type="dcterms:W3CDTF">2023-11-05T05:35:46Z</dcterms:created>
  <dcterms:modified xsi:type="dcterms:W3CDTF">2023-11-11T14:18:35Z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