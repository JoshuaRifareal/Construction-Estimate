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D980F767-1608-4CB5-A743-4F3F212CA485}" xr6:coauthVersionLast="47" xr6:coauthVersionMax="47" xr10:uidLastSave="{00000000-0000-0000-0000-000000000000}"/>
  <bookViews>
    <workbookView showVerticalScroll="0" xWindow="-120" yWindow="330" windowWidth="29040" windowHeight="15990" xr2:uid="{8B5DE958-5194-4241-BC6A-9B16F371BC66}"/>
  </bookViews>
  <sheets>
    <sheet name="Sheet1" sheetId="1" r:id="rId1"/>
  </sheets>
  <functionGroups builtInGroupCount="19"/>
  <definedNames>
    <definedName name="ColFootLength">Sheet1!$K$12</definedName>
    <definedName name="ColFootThick">Sheet1!$K$14</definedName>
    <definedName name="ColFootWidth">Sheet1!$K$13</definedName>
    <definedName name="Length">Sheet1!$K$12</definedName>
    <definedName name="_xlnm.Print_Area" localSheetId="0">Sheet1!$H$1:$T$52</definedName>
    <definedName name="Width">Sheet1!$K$13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 s="1"/>
  <c r="K21" i="1" l="1"/>
  <c r="K22" i="1"/>
</calcChain>
</file>

<file path=xl/sharedStrings.xml><?xml version="1.0" encoding="utf-8"?>
<sst xmlns="http://schemas.openxmlformats.org/spreadsheetml/2006/main" count="21" uniqueCount="16">
  <si>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</si>
  <si>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</si>
  <si>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</si>
  <si>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</si>
  <si>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</si>
  <si>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</si>
  <si>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</si>
  <si>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</si>
  <si>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</si>
  <si>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</si>
  <si>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</si>
  <si>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</si>
  <si>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</si>
  <si>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Kilograms</t>
  </si>
  <si>
    <t>Input specifications here:</t>
  </si>
  <si>
    <t>Estimated requirements: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</si>
</sst>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/>
    <xf numFmtId="2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354097</xdr:colOff>
      <xdr:row>13</xdr:row>
      <xdr:rowOff>158462</xdr:rowOff>
    </xdr:from>
    <xdr:to>
      <xdr:col>20</xdr:col>
      <xdr:colOff>108421</xdr:colOff>
      <xdr:row>21</xdr:row>
      <xdr:rowOff>114296</xdr:rowOff>
    </xdr:to>
    <xdr:grpSp>
      <xdr:nvGrpSpPr>
        <xdr:cNvPr id="2" name="ColFoot Drawing">
          <a:extLst>
            <a:ext uri="{FF2B5EF4-FFF2-40B4-BE49-F238E27FC236}">
              <a16:creationId xmlns:a16="http://schemas.microsoft.com/office/drawing/2014/main" id="{B1490D77-DF2A-6665-4A42-469736CABC95}"/>
            </a:ext>
          </a:extLst>
        </xdr:cNvPr>
        <xdr:cNvGrpSpPr>
          <a:grpSpLocks noChangeAspect="1"/>
        </xdr:cNvGrpSpPr>
      </xdr:nvGrpSpPr>
      <xdr:grpSpPr>
        <a:xfrm>
          <a:off x="8678947" y="2682587"/>
          <a:ext cx="3878649" cy="1479834"/>
          <a:chOff x="8537828" y="2658997"/>
          <a:chExt cx="3239159" cy="1454907"/>
        </a:xfrm>
      </xdr:grpSpPr>
      <xdr:cxnSp macro="">
        <xdr:nvCxnSpPr>
          <xdr:cNvPr id="32" name="Thickness 3">
            <a:extLst>
              <a:ext uri="{FF2B5EF4-FFF2-40B4-BE49-F238E27FC236}">
                <a16:creationId xmlns:a16="http://schemas.microsoft.com/office/drawing/2014/main" id="{DB419768-9E98-4868-5280-B9658579B5A4}"/>
              </a:ext>
            </a:extLst>
          </xdr:cNvPr>
          <xdr:cNvCxnSpPr/>
        </xdr:nvCxnSpPr>
        <xdr:spPr>
          <a:xfrm>
            <a:off x="11771567" y="3562623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Thickness 2">
            <a:extLst>
              <a:ext uri="{FF2B5EF4-FFF2-40B4-BE49-F238E27FC236}">
                <a16:creationId xmlns:a16="http://schemas.microsoft.com/office/drawing/2014/main" id="{92981836-BD40-0BBF-6B60-03A37E4708B2}"/>
              </a:ext>
            </a:extLst>
          </xdr:cNvPr>
          <xdr:cNvCxnSpPr/>
        </xdr:nvCxnSpPr>
        <xdr:spPr>
          <a:xfrm>
            <a:off x="9861627" y="3565264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Thickness 1">
            <a:extLst>
              <a:ext uri="{FF2B5EF4-FFF2-40B4-BE49-F238E27FC236}">
                <a16:creationId xmlns:a16="http://schemas.microsoft.com/office/drawing/2014/main" id="{ED9B995B-891D-EF7E-50B9-BE9FC6BCE7D0}"/>
              </a:ext>
            </a:extLst>
          </xdr:cNvPr>
          <xdr:cNvCxnSpPr/>
        </xdr:nvCxnSpPr>
        <xdr:spPr>
          <a:xfrm>
            <a:off x="8540125" y="2658997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Width 3">
            <a:extLst>
              <a:ext uri="{FF2B5EF4-FFF2-40B4-BE49-F238E27FC236}">
                <a16:creationId xmlns:a16="http://schemas.microsoft.com/office/drawing/2014/main" id="{B82BB24E-35F9-129C-0FF8-E38C735409C2}"/>
              </a:ext>
            </a:extLst>
          </xdr:cNvPr>
          <xdr:cNvCxnSpPr/>
        </xdr:nvCxnSpPr>
        <xdr:spPr>
          <a:xfrm>
            <a:off x="10446441" y="2672457"/>
            <a:ext cx="1322532" cy="898997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Width 2">
            <a:extLst>
              <a:ext uri="{FF2B5EF4-FFF2-40B4-BE49-F238E27FC236}">
                <a16:creationId xmlns:a16="http://schemas.microsoft.com/office/drawing/2014/main" id="{9DEB8DA1-D97B-12CE-A9A2-DB7551A70994}"/>
              </a:ext>
            </a:extLst>
          </xdr:cNvPr>
          <xdr:cNvCxnSpPr/>
        </xdr:nvCxnSpPr>
        <xdr:spPr>
          <a:xfrm>
            <a:off x="8548717" y="2675997"/>
            <a:ext cx="1322532" cy="898997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Width 1">
            <a:extLst>
              <a:ext uri="{FF2B5EF4-FFF2-40B4-BE49-F238E27FC236}">
                <a16:creationId xmlns:a16="http://schemas.microsoft.com/office/drawing/2014/main" id="{79AE92DB-11AD-89DB-B0A5-ABA9B14DB418}"/>
              </a:ext>
            </a:extLst>
          </xdr:cNvPr>
          <xdr:cNvCxnSpPr/>
        </xdr:nvCxnSpPr>
        <xdr:spPr>
          <a:xfrm>
            <a:off x="8542667" y="3202282"/>
            <a:ext cx="1322661" cy="898997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" name="Length 3">
            <a:extLst>
              <a:ext uri="{FF2B5EF4-FFF2-40B4-BE49-F238E27FC236}">
                <a16:creationId xmlns:a16="http://schemas.microsoft.com/office/drawing/2014/main" id="{0AF14547-ACDD-3CFF-CB71-5BF302827BAE}"/>
              </a:ext>
            </a:extLst>
          </xdr:cNvPr>
          <xdr:cNvCxnSpPr/>
        </xdr:nvCxnSpPr>
        <xdr:spPr>
          <a:xfrm>
            <a:off x="9867890" y="4101813"/>
            <a:ext cx="1909097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Length 2">
            <a:extLst>
              <a:ext uri="{FF2B5EF4-FFF2-40B4-BE49-F238E27FC236}">
                <a16:creationId xmlns:a16="http://schemas.microsoft.com/office/drawing/2014/main" id="{575932C8-D965-6CF3-2F14-C208D4A34879}"/>
              </a:ext>
            </a:extLst>
          </xdr:cNvPr>
          <xdr:cNvCxnSpPr/>
        </xdr:nvCxnSpPr>
        <xdr:spPr>
          <a:xfrm>
            <a:off x="9865459" y="3573644"/>
            <a:ext cx="1909097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Length 1">
            <a:extLst>
              <a:ext uri="{FF2B5EF4-FFF2-40B4-BE49-F238E27FC236}">
                <a16:creationId xmlns:a16="http://schemas.microsoft.com/office/drawing/2014/main" id="{C43F6DAF-8D67-B837-074A-63F9BFA83EF6}"/>
              </a:ext>
            </a:extLst>
          </xdr:cNvPr>
          <xdr:cNvCxnSpPr/>
        </xdr:nvCxnSpPr>
        <xdr:spPr>
          <a:xfrm>
            <a:off x="8537828" y="2667564"/>
            <a:ext cx="1431823" cy="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27952</xdr:colOff>
      <xdr:row>8</xdr:row>
      <xdr:rowOff>133350</xdr:rowOff>
    </xdr:from>
    <xdr:to>
      <xdr:col>10</xdr:col>
      <xdr:colOff>304188</xdr:colOff>
      <xdr:row>13</xdr:row>
      <xdr:rowOff>52234</xdr:rowOff>
    </xdr:to>
    <xdr:sp macro="" textlink="">
      <xdr:nvSpPr>
        <xdr:cNvPr id="10" name="ColFoot Mix Panel" hidden="1">
          <a:extLst>
            <a:ext uri="{FF2B5EF4-FFF2-40B4-BE49-F238E27FC236}">
              <a16:creationId xmlns:a16="http://schemas.microsoft.com/office/drawing/2014/main" id="{84D813F1-4175-012B-F093-A826EC0D5381}"/>
            </a:ext>
          </a:extLst>
        </xdr:cNvPr>
        <xdr:cNvSpPr/>
      </xdr:nvSpPr>
      <xdr:spPr>
        <a:xfrm>
          <a:off x="5908871" y="1706511"/>
          <a:ext cx="884607" cy="87138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25944</xdr:colOff>
      <xdr:row>9</xdr:row>
      <xdr:rowOff>54822</xdr:rowOff>
    </xdr:from>
    <xdr:to>
      <xdr:col>10</xdr:col>
      <xdr:colOff>304188</xdr:colOff>
      <xdr:row>13</xdr:row>
      <xdr:rowOff>54793</xdr:rowOff>
    </xdr:to>
    <xdr:grpSp>
      <xdr:nvGrpSpPr>
        <xdr:cNvPr id="26" name="ColFoot Mix Options" hidden="1">
          <a:extLst>
            <a:ext uri="{FF2B5EF4-FFF2-40B4-BE49-F238E27FC236}">
              <a16:creationId xmlns:a16="http://schemas.microsoft.com/office/drawing/2014/main" id="{A4C3B698-8B5D-EEEE-9CE6-B53D75C2B2BD}"/>
            </a:ext>
          </a:extLst>
        </xdr:cNvPr>
        <xdr:cNvGrpSpPr/>
      </xdr:nvGrpSpPr>
      <xdr:grpSpPr>
        <a:xfrm>
          <a:off x="5912394" y="1816947"/>
          <a:ext cx="887844" cy="761971"/>
          <a:chOff x="5901800" y="1816947"/>
          <a:chExt cx="888965" cy="761971"/>
        </a:xfrm>
      </xdr:grpSpPr>
      <xdr:sp macro="" textlink="">
        <xdr:nvSpPr>
          <xdr:cNvPr id="22" name="Option 4" hidden="1">
            <a:extLst>
              <a:ext uri="{FF2B5EF4-FFF2-40B4-BE49-F238E27FC236}">
                <a16:creationId xmlns:a16="http://schemas.microsoft.com/office/drawing/2014/main" id="{A6E3A479-84AE-970A-1F49-D44AA93D5D75}"/>
              </a:ext>
            </a:extLst>
          </xdr:cNvPr>
          <xdr:cNvSpPr/>
        </xdr:nvSpPr>
        <xdr:spPr>
          <a:xfrm>
            <a:off x="5901800" y="2388992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Option 3" hidden="1">
            <a:extLst>
              <a:ext uri="{FF2B5EF4-FFF2-40B4-BE49-F238E27FC236}">
                <a16:creationId xmlns:a16="http://schemas.microsoft.com/office/drawing/2014/main" id="{DD0BA813-BDE6-E248-698F-6D8339148F64}"/>
              </a:ext>
            </a:extLst>
          </xdr:cNvPr>
          <xdr:cNvSpPr/>
        </xdr:nvSpPr>
        <xdr:spPr>
          <a:xfrm>
            <a:off x="5901800" y="2198491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Option 2" hidden="1">
            <a:extLst>
              <a:ext uri="{FF2B5EF4-FFF2-40B4-BE49-F238E27FC236}">
                <a16:creationId xmlns:a16="http://schemas.microsoft.com/office/drawing/2014/main" id="{75272489-932D-DB37-B464-15AFE8402703}"/>
              </a:ext>
            </a:extLst>
          </xdr:cNvPr>
          <xdr:cNvSpPr/>
        </xdr:nvSpPr>
        <xdr:spPr>
          <a:xfrm>
            <a:off x="5901800" y="2007990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Option 1" hidden="1">
            <a:extLst>
              <a:ext uri="{FF2B5EF4-FFF2-40B4-BE49-F238E27FC236}">
                <a16:creationId xmlns:a16="http://schemas.microsoft.com/office/drawing/2014/main" id="{AC8EC0AC-E7D4-B8A8-3633-D2822661AAA8}"/>
              </a:ext>
            </a:extLst>
          </xdr:cNvPr>
          <xdr:cNvSpPr/>
        </xdr:nvSpPr>
        <xdr:spPr>
          <a:xfrm>
            <a:off x="5901800" y="1816947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</xdr:grpSp>
    <xdr:clientData/>
  </xdr:twoCellAnchor>
  <xdr:twoCellAnchor>
    <xdr:from>
      <xdr:col>9</xdr:col>
      <xdr:colOff>27918</xdr:colOff>
      <xdr:row>8</xdr:row>
      <xdr:rowOff>56325</xdr:rowOff>
    </xdr:from>
    <xdr:to>
      <xdr:col>10</xdr:col>
      <xdr:colOff>306842</xdr:colOff>
      <xdr:row>9</xdr:row>
      <xdr:rowOff>55751</xdr:rowOff>
    </xdr:to>
    <xdr:sp macro="[0]!ChipDropdown.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F4142852-7422-2000-3F91-1A37A17B5B4D}"/>
            </a:ext>
          </a:extLst>
        </xdr:cNvPr>
        <xdr:cNvSpPr/>
      </xdr:nvSpPr>
      <xdr:spPr>
        <a:xfrm>
          <a:off x="5914368" y="1627950"/>
          <a:ext cx="888524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</a:p>
      </xdr:txBody>
    </xdr:sp>
    <xdr:clientData/>
  </xdr:twoCellAnchor>
  <xdr:twoCellAnchor>
    <xdr:from>
      <xdr:col>10</xdr:col>
      <xdr:colOff>347944</xdr:colOff>
      <xdr:row>8</xdr:row>
      <xdr:rowOff>57451</xdr:rowOff>
    </xdr:from>
    <xdr:to>
      <xdr:col>11</xdr:col>
      <xdr:colOff>478387</xdr:colOff>
      <xdr:row>9</xdr:row>
      <xdr:rowOff>56877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EA93B704-B7C9-8665-AA88-25D6CAF5FE10}"/>
            </a:ext>
          </a:extLst>
        </xdr:cNvPr>
        <xdr:cNvSpPr/>
      </xdr:nvSpPr>
      <xdr:spPr>
        <a:xfrm>
          <a:off x="6847804" y="1630981"/>
          <a:ext cx="740043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519394</xdr:colOff>
      <xdr:row>8</xdr:row>
      <xdr:rowOff>57451</xdr:rowOff>
    </xdr:from>
    <xdr:to>
      <xdr:col>13</xdr:col>
      <xdr:colOff>381000</xdr:colOff>
      <xdr:row>9</xdr:row>
      <xdr:rowOff>56877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C2B1B2D-06C7-2FCF-D4FE-9A262E8596F9}"/>
            </a:ext>
          </a:extLst>
        </xdr:cNvPr>
        <xdr:cNvSpPr/>
      </xdr:nvSpPr>
      <xdr:spPr>
        <a:xfrm>
          <a:off x="7619182" y="1632739"/>
          <a:ext cx="1077876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Fuller's Method</a:t>
          </a:r>
        </a:p>
      </xdr:txBody>
    </xdr:sp>
    <xdr:clientData/>
  </xdr:twoCellAnchor>
  <xdr:twoCellAnchor>
    <xdr:from>
      <xdr:col>13</xdr:col>
      <xdr:colOff>352425</xdr:colOff>
      <xdr:row>11</xdr:row>
      <xdr:rowOff>85725</xdr:rowOff>
    </xdr:from>
    <xdr:to>
      <xdr:col>13</xdr:col>
      <xdr:colOff>352425</xdr:colOff>
      <xdr:row>22</xdr:row>
      <xdr:rowOff>76200</xdr:rowOff>
    </xdr:to>
    <xdr:cxnSp macro="">
      <xdr:nvCxnSpPr>
        <xdr:cNvPr id="1040" name="Straight Connector 1039">
          <a:extLst>
            <a:ext uri="{FF2B5EF4-FFF2-40B4-BE49-F238E27FC236}">
              <a16:creationId xmlns:a16="http://schemas.microsoft.com/office/drawing/2014/main" id="{D82237E2-5365-6C1A-3D3C-CB5717B700B7}"/>
            </a:ext>
          </a:extLst>
        </xdr:cNvPr>
        <xdr:cNvCxnSpPr/>
      </xdr:nvCxnSpPr>
      <xdr:spPr>
        <a:xfrm>
          <a:off x="8677275" y="2228850"/>
          <a:ext cx="0" cy="20859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104775</xdr:colOff>
      <xdr:row>12</xdr:row>
      <xdr:rowOff>142875</xdr:rowOff>
    </xdr:from>
    <xdr:to>
      <xdr:col>20</xdr:col>
      <xdr:colOff>104775</xdr:colOff>
      <xdr:row>23</xdr:row>
      <xdr:rowOff>133350</xdr:rowOff>
    </xdr:to>
    <xdr:cxnSp macro="">
      <xdr:nvCxnSpPr>
        <xdr:cNvPr id="1042" name="Straight Connector 1041">
          <a:extLst>
            <a:ext uri="{FF2B5EF4-FFF2-40B4-BE49-F238E27FC236}">
              <a16:creationId xmlns:a16="http://schemas.microsoft.com/office/drawing/2014/main" id="{2010FC11-AC94-46C1-5F51-E31F195E35BC}"/>
            </a:ext>
          </a:extLst>
        </xdr:cNvPr>
        <xdr:cNvCxnSpPr/>
      </xdr:nvCxnSpPr>
      <xdr:spPr>
        <a:xfrm>
          <a:off x="12553950" y="2476500"/>
          <a:ext cx="0" cy="20859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13</xdr:row>
      <xdr:rowOff>161925</xdr:rowOff>
    </xdr:from>
    <xdr:to>
      <xdr:col>20</xdr:col>
      <xdr:colOff>323850</xdr:colOff>
      <xdr:row>13</xdr:row>
      <xdr:rowOff>161925</xdr:rowOff>
    </xdr:to>
    <xdr:cxnSp macro="">
      <xdr:nvCxnSpPr>
        <xdr:cNvPr id="1044" name="Straight Connector 1043">
          <a:extLst>
            <a:ext uri="{FF2B5EF4-FFF2-40B4-BE49-F238E27FC236}">
              <a16:creationId xmlns:a16="http://schemas.microsoft.com/office/drawing/2014/main" id="{AE81AECB-F080-631F-F474-5686D46DC797}"/>
            </a:ext>
          </a:extLst>
        </xdr:cNvPr>
        <xdr:cNvCxnSpPr/>
      </xdr:nvCxnSpPr>
      <xdr:spPr>
        <a:xfrm flipH="1">
          <a:off x="8429625" y="2686050"/>
          <a:ext cx="43434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219075</xdr:colOff>
      <xdr:row>21</xdr:row>
      <xdr:rowOff>95250</xdr:rowOff>
    </xdr:from>
    <xdr:to>
      <xdr:col>20</xdr:col>
      <xdr:colOff>438150</xdr:colOff>
      <xdr:row>21</xdr:row>
      <xdr:rowOff>95250</xdr:rowOff>
    </xdr:to>
    <xdr:cxnSp macro="">
      <xdr:nvCxnSpPr>
        <xdr:cNvPr id="1047" name="Straight Connector 1046">
          <a:extLst>
            <a:ext uri="{FF2B5EF4-FFF2-40B4-BE49-F238E27FC236}">
              <a16:creationId xmlns:a16="http://schemas.microsoft.com/office/drawing/2014/main" id="{7AE7122C-D777-1D01-E9D5-E54DEA724E4E}"/>
            </a:ext>
          </a:extLst>
        </xdr:cNvPr>
        <xdr:cNvCxnSpPr/>
      </xdr:nvCxnSpPr>
      <xdr:spPr>
        <a:xfrm>
          <a:off x="8543925" y="4143375"/>
          <a:ext cx="43434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J8:L52"/>
  <sheetViews>
    <sheetView showGridLines="0" tabSelected="1" showRuler="0" topLeftCell="B1" zoomScaleNormal="100" zoomScaleSheetLayoutView="115" zoomScalePageLayoutView="145" workbookViewId="0">
      <selection activeCell="U12" sqref="U12"/>
    </sheetView>
  </sheetViews>
  <sheetFormatPr defaultRowHeight="15" x14ac:dyDescent="0.25"/>
  <cols>
    <col min="2" max="2" width="12.140625" customWidth="1"/>
    <col min="7" max="7" width="12.140625" customWidth="1"/>
    <col min="10" max="12" width="9.140625" customWidth="1"/>
    <col min="15" max="15" width="9.140625" customWidth="1"/>
    <col min="20" max="20" width="7" customWidth="1"/>
  </cols>
  <sheetData>
    <row r="8" spans="10:12" ht="18.75" x14ac:dyDescent="0.3">
      <c r="J8" s="4" t="s">
        <v>0</v>
      </c>
    </row>
    <row r="11" spans="10:12" x14ac:dyDescent="0.25">
      <c r="J11" t="s">
        <v>14</v>
      </c>
    </row>
    <row r="12" spans="10:12" x14ac:dyDescent="0.25">
      <c r="J12" t="s">
        <v>1</v>
      </c>
      <c r="K12" s="2">
        <v>1.5</v>
      </c>
      <c r="L12" t="s">
        <v>11</v>
      </c>
    </row>
    <row r="13" spans="10:12" x14ac:dyDescent="0.25">
      <c r="J13" t="s">
        <v>2</v>
      </c>
      <c r="K13" s="2">
        <v>2</v>
      </c>
      <c r="L13" t="s">
        <v>11</v>
      </c>
    </row>
    <row r="14" spans="10:12" x14ac:dyDescent="0.25">
      <c r="J14" t="s">
        <v>3</v>
      </c>
      <c r="K14" s="2">
        <v>0.6</v>
      </c>
      <c r="L14" t="s">
        <v>11</v>
      </c>
    </row>
    <row r="15" spans="10:12" x14ac:dyDescent="0.25">
      <c r="J15" t="s">
        <v>7</v>
      </c>
      <c r="K15" s="3">
        <v>40</v>
      </c>
      <c r="L15" t="s">
        <v>13</v>
      </c>
    </row>
    <row r="16" spans="10:12" x14ac:dyDescent="0.25">
      <c r="J16" t="s">
        <v>4</v>
      </c>
      <c r="K16" s="3">
        <v>1</v>
      </c>
      <c r="L16" t="s">
        <v>12</v>
      </c>
    </row>
    <row r="17" spans="10:12" x14ac:dyDescent="0.25">
      <c r="K17" s="1"/>
    </row>
    <row r="18" spans="10:12" x14ac:dyDescent="0.25">
      <c r="J18" t="s">
        <v>15</v>
      </c>
    </row>
    <row r="19" spans="10:12" x14ac:dyDescent="0.25">
      <c r="J19" t="s">
        <v>5</v>
      </c>
      <c r="K19" s="5">
        <f>PRODUCT(K12:K14,K16)</f>
        <v>1.7999999999999998</v>
      </c>
      <c r="L19" t="s">
        <v>6</v>
      </c>
    </row>
    <row r="20" spans="10:12" x14ac:dyDescent="0.25">
      <c r="J20" t="s">
        <v>7</v>
      </c>
      <c r="K20" s="6">
        <f>((K19/(1+2+4)) * 1.52) / (50/1440)</f>
        <v>11.256685714285714</v>
      </c>
      <c r="L20" t="s">
        <v>8</v>
      </c>
    </row>
    <row r="21" spans="10:12" x14ac:dyDescent="0.25">
      <c r="J21" t="s">
        <v>9</v>
      </c>
      <c r="K21" s="5">
        <f>((K19/(1+2+4)) * 1.52) * 2</f>
        <v>0.78171428571428569</v>
      </c>
      <c r="L21" t="s">
        <v>6</v>
      </c>
    </row>
    <row r="22" spans="10:12" x14ac:dyDescent="0.25">
      <c r="J22" t="s">
        <v>10</v>
      </c>
      <c r="K22" s="5">
        <f>((K19/(1+2+4)) * 1.52) * 4</f>
        <v>1.5634285714285714</v>
      </c>
      <c r="L22" t="s">
        <v>6</v>
      </c>
    </row>
    <row r="52" ht="23.25" customHeight="1" x14ac:dyDescent="0.25"/>
  </sheetData>
  <printOptions horizontalCentered="1" verticalCentered="1"/>
  <pageMargins left="0.25" right="0.25" top="0.25" bottom="0.25" header="0" footer="0"/>
  <pageSetup scale="88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cp:lastPrinted>2023-11-08T02:06:53Z</cp:lastPrinted>
  <dcterms:created xsi:type="dcterms:W3CDTF">2023-11-05T05:35:46Z</dcterms:created>
  <dcterms:modified xsi:type="dcterms:W3CDTF">2023-11-09T09:21:21Z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