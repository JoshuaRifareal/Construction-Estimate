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21A03DB9-D3EF-42A2-9A9B-78A0CD4317AC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Sheet1!$K$15</definedName>
    <definedName name="ColFootThick">Sheet1!$K$17</definedName>
    <definedName name="ColFootWidth">Sheet1!$K$16</definedName>
    <definedName name="Length">Sheet1!$K$15</definedName>
    <definedName name="_xlnm.Print_Area" localSheetId="0">Sheet1!$H$1:$V$57</definedName>
    <definedName name="Width">Sheet1!$K$16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3" i="1" s="1"/>
  <c r="K24" i="1" l="1"/>
  <c r="K25" i="1"/>
</calcChain>
</file>

<file path=xl/sharedStrings.xml><?xml version="1.0" encoding="utf-8"?>
<sst xmlns="http://schemas.openxmlformats.org/spreadsheetml/2006/main" count="22" uniqueCount="17">
  <si>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</si>
  <si>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</si>
  <si>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</si>
  <si>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</si>
  <si>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</si>
  <si>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</si>
  <si>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</si>
  <si>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</si>
  <si>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</si>
  <si>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</si>
  <si>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</si>
  <si>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</si>
  <si>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</si>
  <si>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</si>
  <si>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</si>
  <si>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</si>
  <si>
    <t>CONSTRUCTION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</si>
</sst>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 tint="0.499984740745262"/>
      <name val="Druk Text Wide Bold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729</xdr:colOff>
      <xdr:row>0</xdr:row>
      <xdr:rowOff>0</xdr:rowOff>
    </xdr:from>
    <xdr:to>
      <xdr:col>22</xdr:col>
      <xdr:colOff>0</xdr:colOff>
      <xdr:row>57</xdr:row>
      <xdr:rowOff>16565</xdr:rowOff>
    </xdr:to>
    <xdr:sp macro="" textlink="">
      <xdr:nvSpPr>
        <xdr:cNvPr id="2" name="Viewport">
          <a:extLst>
            <a:ext uri="{FF2B5EF4-FFF2-40B4-BE49-F238E27FC236}">
              <a16:creationId xmlns:a16="http://schemas.microsoft.com/office/drawing/2014/main" id="{673FFB2A-70BB-1277-71CB-8F03508006D3}"/>
            </a:ext>
          </a:extLst>
        </xdr:cNvPr>
        <xdr:cNvSpPr/>
      </xdr:nvSpPr>
      <xdr:spPr>
        <a:xfrm>
          <a:off x="729" y="0"/>
          <a:ext cx="9034414" cy="11228851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7</xdr:col>
      <xdr:colOff>729</xdr:colOff>
      <xdr:row>57</xdr:row>
      <xdr:rowOff>16601</xdr:rowOff>
    </xdr:from>
    <xdr:to>
      <xdr:col>22</xdr:col>
      <xdr:colOff>0</xdr:colOff>
      <xdr:row>115</xdr:row>
      <xdr:rowOff>185566</xdr:rowOff>
    </xdr:to>
    <xdr:sp macro="" textlink="">
      <xdr:nvSpPr>
        <xdr:cNvPr id="7" name="Viewport">
          <a:extLst>
            <a:ext uri="{FF2B5EF4-FFF2-40B4-BE49-F238E27FC236}">
              <a16:creationId xmlns:a16="http://schemas.microsoft.com/office/drawing/2014/main" id="{BEB633A9-DA47-453D-0B6C-768D1AAA9C0E}"/>
            </a:ext>
          </a:extLst>
        </xdr:cNvPr>
        <xdr:cNvSpPr/>
      </xdr:nvSpPr>
      <xdr:spPr>
        <a:xfrm>
          <a:off x="4671263" y="11216687"/>
          <a:ext cx="9018461" cy="1121796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13</xdr:col>
      <xdr:colOff>354087</xdr:colOff>
      <xdr:row>16</xdr:row>
      <xdr:rowOff>158456</xdr:rowOff>
    </xdr:from>
    <xdr:to>
      <xdr:col>20</xdr:col>
      <xdr:colOff>110990</xdr:colOff>
      <xdr:row>24</xdr:row>
      <xdr:rowOff>79679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9D31E85-3C90-E50E-89E3-F8BE48E54898}"/>
            </a:ext>
          </a:extLst>
        </xdr:cNvPr>
        <xdr:cNvGrpSpPr/>
      </xdr:nvGrpSpPr>
      <xdr:grpSpPr>
        <a:xfrm>
          <a:off x="8624028" y="3441780"/>
          <a:ext cx="3858256" cy="1445223"/>
          <a:chOff x="8670133" y="2686244"/>
          <a:chExt cx="3751519" cy="1445223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421652" y="3580539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10210815" y="358282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879736" y="2686247"/>
            <a:ext cx="1541916" cy="89429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670139" y="2686251"/>
            <a:ext cx="1540676" cy="896576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670138" y="3234884"/>
            <a:ext cx="1540718" cy="89650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10210815" y="413146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10210815" y="358282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670133" y="2686247"/>
            <a:ext cx="2209603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14</xdr:row>
      <xdr:rowOff>85725</xdr:rowOff>
    </xdr:from>
    <xdr:to>
      <xdr:col>20</xdr:col>
      <xdr:colOff>438150</xdr:colOff>
      <xdr:row>26</xdr:row>
      <xdr:rowOff>133350</xdr:rowOff>
    </xdr:to>
    <xdr:grpSp>
      <xdr:nvGrpSpPr>
        <xdr:cNvPr id="1055" name="ColFoot Boundaries" hidden="1">
          <a:extLst>
            <a:ext uri="{FF2B5EF4-FFF2-40B4-BE49-F238E27FC236}">
              <a16:creationId xmlns:a16="http://schemas.microsoft.com/office/drawing/2014/main" id="{4DC06A01-6585-510E-7012-99D4E0CB522D}"/>
            </a:ext>
          </a:extLst>
        </xdr:cNvPr>
        <xdr:cNvGrpSpPr/>
      </xdr:nvGrpSpPr>
      <xdr:grpSpPr>
        <a:xfrm>
          <a:off x="8374716" y="2988049"/>
          <a:ext cx="4434728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D82237E2-5365-6C1A-3D3C-CB5717B700B7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2010FC11-AC94-46C1-5F51-E31F195E35BC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AE81AECB-F080-631F-F474-5686D46DC797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7AE7122C-D777-1D01-E9D5-E54DEA724E4E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11</xdr:row>
      <xdr:rowOff>133350</xdr:rowOff>
    </xdr:from>
    <xdr:to>
      <xdr:col>10</xdr:col>
      <xdr:colOff>304188</xdr:colOff>
      <xdr:row>16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12</xdr:row>
      <xdr:rowOff>54822</xdr:rowOff>
    </xdr:from>
    <xdr:to>
      <xdr:col>10</xdr:col>
      <xdr:colOff>304188</xdr:colOff>
      <xdr:row>16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75415" y="2576146"/>
          <a:ext cx="883361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11</xdr:row>
      <xdr:rowOff>56325</xdr:rowOff>
    </xdr:from>
    <xdr:to>
      <xdr:col>10</xdr:col>
      <xdr:colOff>306842</xdr:colOff>
      <xdr:row>12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11</xdr:row>
      <xdr:rowOff>57451</xdr:rowOff>
    </xdr:from>
    <xdr:to>
      <xdr:col>11</xdr:col>
      <xdr:colOff>478387</xdr:colOff>
      <xdr:row>12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11</xdr:row>
      <xdr:rowOff>57451</xdr:rowOff>
    </xdr:from>
    <xdr:to>
      <xdr:col>13</xdr:col>
      <xdr:colOff>381000</xdr:colOff>
      <xdr:row>12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 editAs="oneCell">
    <xdr:from>
      <xdr:col>9</xdr:col>
      <xdr:colOff>41412</xdr:colOff>
      <xdr:row>2</xdr:row>
      <xdr:rowOff>149087</xdr:rowOff>
    </xdr:from>
    <xdr:to>
      <xdr:col>9</xdr:col>
      <xdr:colOff>549841</xdr:colOff>
      <xdr:row>4</xdr:row>
      <xdr:rowOff>93594</xdr:rowOff>
    </xdr:to>
    <xdr:pic>
      <xdr:nvPicPr>
        <xdr:cNvPr id="4" name="JRE Logo">
          <a:extLst>
            <a:ext uri="{FF2B5EF4-FFF2-40B4-BE49-F238E27FC236}">
              <a16:creationId xmlns:a16="http://schemas.microsoft.com/office/drawing/2014/main" id="{D838046C-1FA5-5F71-AC09-A9E10477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862" y="530087"/>
          <a:ext cx="508429" cy="516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H4:V52"/>
  <sheetViews>
    <sheetView showGridLines="0" tabSelected="1" showRuler="0" topLeftCell="F1" zoomScale="85" zoomScaleNormal="85" zoomScaleSheetLayoutView="70" zoomScalePageLayoutView="145" workbookViewId="0">
      <selection activeCell="K17" sqref="K17"/>
    </sheetView>
  </sheetViews>
  <sheetFormatPr defaultRowHeight="15" x14ac:dyDescent="0.25"/>
  <cols>
    <col min="1" max="1" width="9.140625" style="8"/>
    <col min="2" max="2" width="12.140625" style="8" customWidth="1"/>
    <col min="3" max="6" width="9.140625" style="8"/>
    <col min="7" max="7" width="12.140625" style="8" customWidth="1"/>
    <col min="10" max="12" width="9.140625" customWidth="1"/>
    <col min="15" max="15" width="9.140625" customWidth="1"/>
    <col min="20" max="20" width="7" customWidth="1"/>
    <col min="23" max="16384" width="9.140625" style="8"/>
  </cols>
  <sheetData>
    <row r="4" spans="10:15" ht="30" x14ac:dyDescent="0.25">
      <c r="O4" s="7" t="s">
        <v>16</v>
      </c>
    </row>
    <row r="11" spans="10:15" ht="18.75" x14ac:dyDescent="0.3">
      <c r="J11" s="4" t="s">
        <v>0</v>
      </c>
    </row>
    <row r="14" spans="10:15" x14ac:dyDescent="0.25">
      <c r="J14" t="s">
        <v>13</v>
      </c>
    </row>
    <row r="15" spans="10:15" x14ac:dyDescent="0.25">
      <c r="J15" t="s">
        <v>1</v>
      </c>
      <c r="K15" s="2">
        <v>2</v>
      </c>
      <c r="L15" t="s">
        <v>11</v>
      </c>
    </row>
    <row r="16" spans="10:15" x14ac:dyDescent="0.25">
      <c r="J16" t="s">
        <v>2</v>
      </c>
      <c r="K16" s="2">
        <v>2</v>
      </c>
      <c r="L16" t="s">
        <v>11</v>
      </c>
    </row>
    <row r="17" spans="10:12" x14ac:dyDescent="0.25">
      <c r="J17" t="s">
        <v>3</v>
      </c>
      <c r="K17" s="2">
        <v>0.6</v>
      </c>
      <c r="L17" t="s">
        <v>11</v>
      </c>
    </row>
    <row r="18" spans="10:12" x14ac:dyDescent="0.25">
      <c r="J18" t="s">
        <v>7</v>
      </c>
      <c r="K18" s="3">
        <v>50</v>
      </c>
      <c r="L18" t="s">
        <v>15</v>
      </c>
    </row>
    <row r="19" spans="10:12" x14ac:dyDescent="0.25">
      <c r="J19" t="s">
        <v>4</v>
      </c>
      <c r="K19" s="3">
        <v>1</v>
      </c>
      <c r="L19" t="s">
        <v>12</v>
      </c>
    </row>
    <row r="20" spans="10:12" x14ac:dyDescent="0.25">
      <c r="K20" s="1"/>
    </row>
    <row r="21" spans="10:12" x14ac:dyDescent="0.25">
      <c r="J21" t="s">
        <v>14</v>
      </c>
    </row>
    <row r="22" spans="10:12" x14ac:dyDescent="0.25">
      <c r="J22" t="s">
        <v>5</v>
      </c>
      <c r="K22" s="5">
        <f>PRODUCT(K15:K17,K19)</f>
        <v>2.4</v>
      </c>
      <c r="L22" t="s">
        <v>6</v>
      </c>
    </row>
    <row r="23" spans="10:12" x14ac:dyDescent="0.25">
      <c r="J23" t="s">
        <v>7</v>
      </c>
      <c r="K23" s="6">
        <f>((K22/(1+2+4)) * 1.52) / (K18/1440)</f>
        <v>15.008914285714285</v>
      </c>
      <c r="L23" t="s">
        <v>8</v>
      </c>
    </row>
    <row r="24" spans="10:12" x14ac:dyDescent="0.25">
      <c r="J24" t="s">
        <v>9</v>
      </c>
      <c r="K24" s="5">
        <f>((K22/(1+2+4)) * 1.52) * 2</f>
        <v>1.0422857142857143</v>
      </c>
      <c r="L24" t="s">
        <v>6</v>
      </c>
    </row>
    <row r="25" spans="10:12" x14ac:dyDescent="0.25">
      <c r="J25" t="s">
        <v>10</v>
      </c>
      <c r="K25" s="5">
        <f>((K22/(1+2+4)) * 1.52) * 4</f>
        <v>2.0845714285714285</v>
      </c>
      <c r="L25" t="s">
        <v>6</v>
      </c>
    </row>
    <row r="52" ht="23.25" customHeight="1" x14ac:dyDescent="0.25"/>
  </sheetData>
  <printOptions horizontalCentered="1"/>
  <pageMargins left="0" right="0" top="0" bottom="0" header="0" footer="0"/>
  <pageSetup scale="7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2023-11-10T01:01:06Z</cp:lastPrinted>
  <dcterms:created xsi:type="dcterms:W3CDTF">2023-11-05T05:35:46Z</dcterms:created>
  <dcterms:modified xsi:type="dcterms:W3CDTF">2023-11-11T05:33:35Z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